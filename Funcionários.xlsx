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9\Documents\_Material_Clarify\01 - POWER BI\Projetos_Power_BI\01 - Projeto_Recursos Humanos\Bases\"/>
    </mc:Choice>
  </mc:AlternateContent>
  <xr:revisionPtr revIDLastSave="0" documentId="13_ncr:1_{CEC4C5A8-DF0D-4AD9-A525-AD3BAFCED813}" xr6:coauthVersionLast="45" xr6:coauthVersionMax="45" xr10:uidLastSave="{00000000-0000-0000-0000-000000000000}"/>
  <bookViews>
    <workbookView xWindow="-108" yWindow="-108" windowWidth="23256" windowHeight="12720" activeTab="4" xr2:uid="{FE2601A4-8730-4209-A9F9-EF80D25690CF}"/>
  </bookViews>
  <sheets>
    <sheet name="2015" sheetId="2" r:id="rId1"/>
    <sheet name="2016" sheetId="3" r:id="rId2"/>
    <sheet name="2017" sheetId="4" r:id="rId3"/>
    <sheet name="2018" sheetId="5" r:id="rId4"/>
    <sheet name="2019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6" i="2" l="1"/>
</calcChain>
</file>

<file path=xl/sharedStrings.xml><?xml version="1.0" encoding="utf-8"?>
<sst xmlns="http://schemas.openxmlformats.org/spreadsheetml/2006/main" count="466" uniqueCount="142">
  <si>
    <t>MASCULINO</t>
  </si>
  <si>
    <t>OPII</t>
  </si>
  <si>
    <t>Henrique</t>
  </si>
  <si>
    <t>Luiz</t>
  </si>
  <si>
    <t>ARHI</t>
  </si>
  <si>
    <t/>
  </si>
  <si>
    <t>Milano</t>
  </si>
  <si>
    <t>FEMININO</t>
  </si>
  <si>
    <t>OPI</t>
  </si>
  <si>
    <t>Heloísa</t>
  </si>
  <si>
    <t>ANMKI</t>
  </si>
  <si>
    <t>ANCOM</t>
  </si>
  <si>
    <t>Gustavo</t>
  </si>
  <si>
    <t>ANMKTII</t>
  </si>
  <si>
    <t>Yuri</t>
  </si>
  <si>
    <t>Maria</t>
  </si>
  <si>
    <t>CTRL</t>
  </si>
  <si>
    <t>Silva</t>
  </si>
  <si>
    <t>Miguel</t>
  </si>
  <si>
    <t>Fernandes</t>
  </si>
  <si>
    <t>Araújo</t>
  </si>
  <si>
    <t>ANFI</t>
  </si>
  <si>
    <t>CPRD</t>
  </si>
  <si>
    <t>DMKT</t>
  </si>
  <si>
    <t>Almeida</t>
  </si>
  <si>
    <t>ARHII</t>
  </si>
  <si>
    <t>Carvalho</t>
  </si>
  <si>
    <t>EMS</t>
  </si>
  <si>
    <t>Stella</t>
  </si>
  <si>
    <t>Barros</t>
  </si>
  <si>
    <t>EFIN</t>
  </si>
  <si>
    <t>Nascimento</t>
  </si>
  <si>
    <t>Valentina</t>
  </si>
  <si>
    <t>ECOM</t>
  </si>
  <si>
    <t>Rodrigues</t>
  </si>
  <si>
    <t>GPRD</t>
  </si>
  <si>
    <t>Fernando</t>
  </si>
  <si>
    <t>Agatha</t>
  </si>
  <si>
    <t>Rocha</t>
  </si>
  <si>
    <t>GFIN</t>
  </si>
  <si>
    <t>Eduarda</t>
  </si>
  <si>
    <t>Arthur</t>
  </si>
  <si>
    <t>Gabriel</t>
  </si>
  <si>
    <t>Lucas</t>
  </si>
  <si>
    <t>Moura</t>
  </si>
  <si>
    <t>Bernardo</t>
  </si>
  <si>
    <t>Osato</t>
  </si>
  <si>
    <t>GCOM</t>
  </si>
  <si>
    <t>Alves</t>
  </si>
  <si>
    <t>Victor</t>
  </si>
  <si>
    <t>João</t>
  </si>
  <si>
    <t>Castro</t>
  </si>
  <si>
    <t>Anthony</t>
  </si>
  <si>
    <t>Luana</t>
  </si>
  <si>
    <t>DFIN</t>
  </si>
  <si>
    <t>Lucca</t>
  </si>
  <si>
    <t>DCOM</t>
  </si>
  <si>
    <t>GMKT</t>
  </si>
  <si>
    <t>SEXO</t>
  </si>
  <si>
    <t>idCargo</t>
  </si>
  <si>
    <t>Demissao</t>
  </si>
  <si>
    <t>Ramal</t>
  </si>
  <si>
    <t>Nome 03</t>
  </si>
  <si>
    <t>Nome 02</t>
  </si>
  <si>
    <t>Nome 01</t>
  </si>
  <si>
    <t>Matricula</t>
  </si>
  <si>
    <t>Funcionarios</t>
  </si>
  <si>
    <t>Data Admissão</t>
  </si>
  <si>
    <t>Idade</t>
  </si>
  <si>
    <t>Amanda Oliveira</t>
  </si>
  <si>
    <t>Tomás Rocha</t>
  </si>
  <si>
    <t>Danilo Cardoso</t>
  </si>
  <si>
    <t>Maria Vitória Ribeiro</t>
  </si>
  <si>
    <t>Vitor Saito</t>
  </si>
  <si>
    <t>Davi Lucas Barros</t>
  </si>
  <si>
    <t>Yago Dias</t>
  </si>
  <si>
    <t>Marina Cardoso</t>
  </si>
  <si>
    <t>Heitor Costa</t>
  </si>
  <si>
    <t>Arthur Miguel Araújo</t>
  </si>
  <si>
    <t>João Guilherme Rodrigues</t>
  </si>
  <si>
    <t>Luiza Moura</t>
  </si>
  <si>
    <t>Maria Flor Costa</t>
  </si>
  <si>
    <t>Raul Rossi</t>
  </si>
  <si>
    <t>João Pereira</t>
  </si>
  <si>
    <t>Nome</t>
  </si>
  <si>
    <t>Marina Souza</t>
  </si>
  <si>
    <t>Eloá Freitas</t>
  </si>
  <si>
    <t>Antonella Ribeiro</t>
  </si>
  <si>
    <t>Antônio Costa</t>
  </si>
  <si>
    <t>Vitória Rocha</t>
  </si>
  <si>
    <t>Rafael Lima</t>
  </si>
  <si>
    <t>Agatha Martins</t>
  </si>
  <si>
    <t>Fernando Oliveira</t>
  </si>
  <si>
    <t>Maria Laura Ribeiro</t>
  </si>
  <si>
    <t>Maria Heloísa Rodrigues</t>
  </si>
  <si>
    <t>Pedro Miguel Silva</t>
  </si>
  <si>
    <t>Maria Cecília Martins</t>
  </si>
  <si>
    <t>Luna Campos</t>
  </si>
  <si>
    <t>Maria Valentina Carvalho</t>
  </si>
  <si>
    <t>Amanda Ribeiro</t>
  </si>
  <si>
    <t>Luiz Henrique Almeida</t>
  </si>
  <si>
    <t>Antônia Nascimento</t>
  </si>
  <si>
    <t>Yasmin Rossi</t>
  </si>
  <si>
    <t>Luiz Felipe Barros</t>
  </si>
  <si>
    <t>Oliver Almeida</t>
  </si>
  <si>
    <t>Stella Cavalcanti</t>
  </si>
  <si>
    <t>Ian Carvalho</t>
  </si>
  <si>
    <t>Vinícius Ribeiro</t>
  </si>
  <si>
    <t>Vitor Lima</t>
  </si>
  <si>
    <t>Martin Milano</t>
  </si>
  <si>
    <t>Malu Milano</t>
  </si>
  <si>
    <t>Benício Almeida</t>
  </si>
  <si>
    <t>Manuela Rossi</t>
  </si>
  <si>
    <t>Ana Clara Freitas</t>
  </si>
  <si>
    <t>Helena Pinto</t>
  </si>
  <si>
    <t>Enzo Miguel Araújo</t>
  </si>
  <si>
    <t>Vinícius Fernandes</t>
  </si>
  <si>
    <t>Miguel Silva</t>
  </si>
  <si>
    <t>Luan Gomes</t>
  </si>
  <si>
    <t>Maria Heloísa Ribeiro</t>
  </si>
  <si>
    <t>Yuri Freitas</t>
  </si>
  <si>
    <t>Luna Oliveira</t>
  </si>
  <si>
    <t>Gustavo Gomes</t>
  </si>
  <si>
    <t>Erick Mendes</t>
  </si>
  <si>
    <t>Admissão</t>
  </si>
  <si>
    <t>Heloísa Gomes</t>
  </si>
  <si>
    <t>Helena Martins</t>
  </si>
  <si>
    <t>Breno Milano</t>
  </si>
  <si>
    <t>Luiz Henrique Salvador</t>
  </si>
  <si>
    <t>Nível</t>
  </si>
  <si>
    <t>Área</t>
  </si>
  <si>
    <t>Operador</t>
  </si>
  <si>
    <t>Produção</t>
  </si>
  <si>
    <t>Estagiário</t>
  </si>
  <si>
    <t>Marketing</t>
  </si>
  <si>
    <t>Gerente</t>
  </si>
  <si>
    <t>Comercial</t>
  </si>
  <si>
    <t>Analista</t>
  </si>
  <si>
    <t>Finanças</t>
  </si>
  <si>
    <t>Diretor</t>
  </si>
  <si>
    <t>Coordenador</t>
  </si>
  <si>
    <t>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</si>
</sst>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5" xfId="0" applyFont="1" applyFill="1" applyBorder="1" applyAlignment="1">
      <alignment horizontal="center"/>
    </xf>
    <xf numFmtId="14" fontId="0" fillId="3" borderId="6" xfId="0" applyNumberFormat="1" applyFont="1" applyFill="1" applyBorder="1" applyAlignment="1">
      <alignment horizontal="center"/>
    </xf>
    <xf numFmtId="14" fontId="0" fillId="3" borderId="5" xfId="0" applyNumberFormat="1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0" fillId="3" borderId="8" xfId="0" applyFont="1" applyFill="1" applyBorder="1" applyAlignment="1">
      <alignment horizontal="center"/>
    </xf>
    <xf numFmtId="14" fontId="0" fillId="3" borderId="9" xfId="0" applyNumberFormat="1" applyFont="1" applyFill="1" applyBorder="1" applyAlignment="1">
      <alignment horizontal="center"/>
    </xf>
    <xf numFmtId="14" fontId="0" fillId="3" borderId="8" xfId="0" applyNumberFormat="1" applyFont="1" applyFill="1" applyBorder="1"/>
    <xf numFmtId="9" fontId="0" fillId="0" borderId="0" xfId="1" applyFont="1"/>
  </cellXfs>
  <cellStyles count="2">
    <cellStyle name="Normal" xfId="0" builtinId="0"/>
    <cellStyle name="Porcentagem" xfId="1" builtinId="5"/>
  </cellStyles>
  <dxfs count="62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F633AC-D410-435F-B7D2-4DFA2BDC6EF7}" name="Funcionário_2015" displayName="Funcionário_2015" ref="A2:J17" totalsRowShown="0">
  <autoFilter ref="A2:J17" xr:uid="{96B6D26B-0503-4A61-AF67-B3808592E166}"/>
  <tableColumns count="10">
    <tableColumn id="1" xr3:uid="{E032286B-7CF6-4A68-B0E9-75F934D22E27}" name="Matricula"/>
    <tableColumn id="14" xr3:uid="{5C8E202F-BFF5-425A-8C46-DCF3582D2C5A}" name="Nome" dataDxfId="61"/>
    <tableColumn id="5" xr3:uid="{2C233C2F-3B29-477D-9652-4F17B8C05013}" name="Ramal"/>
    <tableColumn id="15" xr3:uid="{009E38E5-BC71-42B4-A2DB-CDC7B6388AA4}" name="Data Admissão" dataDxfId="60"/>
    <tableColumn id="9" xr3:uid="{C377F35D-1283-498C-BFCC-7E3965566767}" name="Demissao"/>
    <tableColumn id="10" xr3:uid="{6BFD89FA-1F53-49D0-B941-4D4FFE0B5483}" name="idCargo"/>
    <tableColumn id="12" xr3:uid="{BDEC524C-18E0-41F0-98D7-B5B18FBEFE98}" name="SEXO" dataDxfId="59"/>
    <tableColumn id="13" xr3:uid="{1459B039-3D98-4A70-B11C-E5AC0BEF9AC9}" name="Nascimento" dataDxfId="58"/>
    <tableColumn id="2" xr3:uid="{16B27800-CEB0-48A5-8705-427E02A01AA4}" name="Nível" dataDxfId="57"/>
    <tableColumn id="3" xr3:uid="{1223FCC8-D74C-45BD-9E92-AB682E307589}" name="Área" dataDxfId="56"/>
  </tableColumns>
  <tableStyleInfo name="TableStyleMedium1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EF075E-A786-4EA8-9B7D-3AE587A17B61}" name="Funcionário_2016" displayName="Funcionário_2016" ref="A1:M18" totalsRowShown="0" tableBorderDxfId="55">
  <autoFilter ref="A1:M18" xr:uid="{00BA9993-FB98-422A-BA9C-154811DEF1DF}"/>
  <tableColumns count="13">
    <tableColumn id="1" xr3:uid="{20F2019F-CC31-4BB6-A414-E2DB78FE57A6}" name="Matricula" dataDxfId="54"/>
    <tableColumn id="2" xr3:uid="{D6341F11-FB67-4E14-A437-277359D01C91}" name="Nome 01" dataDxfId="53"/>
    <tableColumn id="3" xr3:uid="{0512F451-4C48-4725-ADFD-49BF24F92984}" name="Nome 02" dataDxfId="52"/>
    <tableColumn id="4" xr3:uid="{8C072A1F-FB88-43EF-A20B-8133D37E3601}" name="Nome 03" dataDxfId="51"/>
    <tableColumn id="5" xr3:uid="{9512BDC7-C2A5-442B-A52C-2DB1949A7103}" name="Ramal" dataDxfId="50"/>
    <tableColumn id="14" xr3:uid="{A5B1A042-C739-4441-973B-592B96F29530}" name="Data Admissão" dataDxfId="49"/>
    <tableColumn id="9" xr3:uid="{6BDA1640-2D4B-47D7-B3D0-69DCB3D11B22}" name="Demissao" dataDxfId="48"/>
    <tableColumn id="10" xr3:uid="{8A1458FE-967F-4AD8-9336-8DAF9D177C60}" name="idCargo" dataDxfId="47"/>
    <tableColumn id="12" xr3:uid="{D70B1AF9-C05C-4D8D-BDBA-FC30A0E69DE9}" name="SEXO" dataDxfId="46"/>
    <tableColumn id="13" xr3:uid="{A515F658-C94E-453E-ABD6-978A851DCF1C}" name="Nascimento" dataDxfId="45"/>
    <tableColumn id="15" xr3:uid="{A2B69EFA-4F7F-47B0-88A2-3E0BE533FFCB}" name="Idade" dataDxfId="44"/>
    <tableColumn id="6" xr3:uid="{BE53BEDB-EE95-45D5-9560-CE38EA7BD264}" name="Nível" dataDxfId="43"/>
    <tableColumn id="7" xr3:uid="{506AB9EA-AA40-49C2-B3E8-7B9202845314}" name="Área" dataDxfId="42"/>
  </tableColumns>
  <tableStyleInfo name="TableStyleMedium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8077C7-B0A9-47D3-80A1-BE946428A07F}" name="Funcionário_2017" displayName="Funcionário_2017" ref="A1:K25" totalsRowShown="0" headerRowDxfId="41" headerRowBorderDxfId="40" tableBorderDxfId="39" totalsRowBorderDxfId="38">
  <autoFilter ref="A1:K25" xr:uid="{30BCD640-C9AE-48A5-B7E1-4D3C19184B1B}"/>
  <tableColumns count="11">
    <tableColumn id="1" xr3:uid="{A0125ECE-867F-464C-A643-D242487C46AF}" name="Matricula" dataDxfId="37"/>
    <tableColumn id="5" xr3:uid="{6C99A164-9DD9-42B9-B305-4303F689247F}" name="Nome" dataDxfId="36"/>
    <tableColumn id="6" xr3:uid="{938433BE-EE7A-40D6-B046-03939F08CB15}" name="Ramal" dataDxfId="35"/>
    <tableColumn id="2" xr3:uid="{23578B44-8C66-41C1-BF66-D523184B62DC}" name="Admissão" dataDxfId="34"/>
    <tableColumn id="10" xr3:uid="{C71C79DD-85D4-49C1-BA69-39ACA387800D}" name="Demissao" dataDxfId="33"/>
    <tableColumn id="11" xr3:uid="{EF140154-579F-49B1-9284-D6A398DBD2B8}" name="idCargo" dataDxfId="32"/>
    <tableColumn id="13" xr3:uid="{CDC305EC-BA35-4403-AA7E-F1FFD3E25747}" name="SEXO" dataDxfId="31"/>
    <tableColumn id="14" xr3:uid="{FED272D5-FE63-4FCD-A49E-339FA4A31D7B}" name="Nascimento" dataDxfId="30"/>
    <tableColumn id="3" xr3:uid="{146AF058-859A-4667-B16B-8F4864C6DB0F}" name="Idade" dataDxfId="29"/>
    <tableColumn id="4" xr3:uid="{36EFF2A5-CC2D-435A-A7F3-562ED53C8833}" name="Nível" dataDxfId="28"/>
    <tableColumn id="7" xr3:uid="{A4A57B26-31E9-4F62-95A4-BBF17656846E}" name="Área" dataCellStyle="Porcentagem"/>
  </tableColumns>
  <tableStyleInfo name="TableStyleMedium1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A5807A-1B8D-4BE0-9628-4E29FFEDF259}" name="Funcionário_2018" displayName="Funcionário_2018" ref="A1:K16" totalsRowShown="0" headerRowDxfId="27" headerRowBorderDxfId="26" tableBorderDxfId="25" totalsRowBorderDxfId="24">
  <autoFilter ref="A1:K16" xr:uid="{42F1D460-4C0D-4338-A4A2-ADBC7BA8ACAC}"/>
  <tableColumns count="11">
    <tableColumn id="1" xr3:uid="{2ADDF580-1B84-45A8-A606-333451AA1CBA}" name="Matricula" dataDxfId="23"/>
    <tableColumn id="14" xr3:uid="{2B371681-C20F-4018-8321-1B6B3AAFA9C2}" name="Nome" dataDxfId="22"/>
    <tableColumn id="5" xr3:uid="{A69D67F5-0EAA-4D56-8CB9-8A2AA7BE967F}" name="Ramal" dataDxfId="21"/>
    <tableColumn id="15" xr3:uid="{2A355D96-4E33-42E6-A1D1-4D7F8A08CED6}" name="Admissão" dataDxfId="20"/>
    <tableColumn id="9" xr3:uid="{671CE55B-B3E3-414C-AB2E-5F82C40B6BEB}" name="Demissao" dataDxfId="19"/>
    <tableColumn id="10" xr3:uid="{411F6A6C-43F6-4A32-AF6E-CD542D23E11B}" name="idCargo" dataDxfId="18"/>
    <tableColumn id="12" xr3:uid="{3ECE2383-B029-4528-9B73-51337CE65528}" name="SEXO" dataDxfId="17"/>
    <tableColumn id="13" xr3:uid="{D975F8C2-E305-4F26-A8AE-A68494A99005}" name="Nascimento" dataDxfId="16"/>
    <tableColumn id="16" xr3:uid="{29DB9CD4-A5F1-4894-8BA3-C09378EFA972}" name="Idade" dataDxfId="15"/>
    <tableColumn id="2" xr3:uid="{8C239726-70B8-4F84-A591-724C7BA1A651}" name="Nível" dataDxfId="14"/>
    <tableColumn id="3" xr3:uid="{C3791E32-F0E2-4B0F-A25B-FA78EE5C5A08}" name="Área" dataDxfId="13"/>
  </tableColumns>
  <tableStyleInfo name="TableStyleMedium1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354199-DF93-4F07-A3F1-72C620A07672}" name="Funcionário_2019" displayName="Funcionário_2019" ref="A1:K5" totalsRowShown="0" headerRowDxfId="12" headerRowBorderDxfId="11">
  <autoFilter ref="A1:K5" xr:uid="{119B6F44-CECA-44E0-9D4A-634032229A28}"/>
  <tableColumns count="11">
    <tableColumn id="1" xr3:uid="{D6A6DCD3-ACE2-4C35-A958-7C20E3D77F62}" name="Matricula" dataDxfId="10"/>
    <tableColumn id="2" xr3:uid="{9C42EA5F-CEB0-4437-8F82-2B92F89D3684}" name="Nome" dataDxfId="9"/>
    <tableColumn id="3" xr3:uid="{12440F34-2F6B-4EEB-8572-F782F38A8392}" name="Ramal" dataDxfId="8"/>
    <tableColumn id="4" xr3:uid="{140420FA-5B51-4B33-881F-92BC46695196}" name="Admissão" dataDxfId="7"/>
    <tableColumn id="5" xr3:uid="{2C7E6599-8F8F-4D37-91CE-6AC9194531B9}" name="Demissao" dataDxfId="6"/>
    <tableColumn id="6" xr3:uid="{6BEF8E81-37AC-432C-9DC4-3DBF2003A578}" name="idCargo" dataDxfId="5"/>
    <tableColumn id="8" xr3:uid="{D21A0068-8CA7-445C-9528-9A831F562F63}" name="SEXO" dataDxfId="4"/>
    <tableColumn id="9" xr3:uid="{C6E8B8F4-84D0-42C3-813E-3753CCEBB4BC}" name="Nascimento" dataDxfId="3"/>
    <tableColumn id="10" xr3:uid="{906812F2-B3E5-4E7C-A540-9BCC3A427BC2}" name="Idade" dataDxfId="2"/>
    <tableColumn id="7" xr3:uid="{3E2CC1F6-2305-40FF-A20A-44F0A29C0C7E}" name="Nível" dataDxfId="1"/>
    <tableColumn id="11" xr3:uid="{3AA40528-9B19-42D0-A3D7-567027E190E5}" name="Área" dataDxfId="0"/>
  </tableColumns>
  <tableStyleInfo name="TableStyleMedium1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13BB-9D68-409A-8132-5490B675F9F0}">
  <dimension ref="A1:J17"/>
  <sheetViews>
    <sheetView workbookViewId="0">
      <selection activeCell="I11" sqref="I11"/>
    </sheetView>
  </sheetViews>
  <sheetFormatPr defaultRowHeight="14.4" x14ac:dyDescent="0.3"/>
  <cols>
    <col min="1" max="1" width="11.33203125" bestFit="1" customWidth="1"/>
    <col min="2" max="2" width="22.44140625" bestFit="1" customWidth="1"/>
    <col min="3" max="3" width="8.109375" customWidth="1"/>
    <col min="4" max="4" width="14.88671875" customWidth="1"/>
    <col min="5" max="5" width="10.88671875" customWidth="1"/>
    <col min="6" max="6" width="9.33203125" customWidth="1"/>
    <col min="7" max="7" width="11.33203125" bestFit="1" customWidth="1"/>
    <col min="8" max="8" width="12.88671875" customWidth="1"/>
    <col min="9" max="9" width="9.5546875" bestFit="1" customWidth="1"/>
    <col min="10" max="10" width="10" bestFit="1" customWidth="1"/>
  </cols>
  <sheetData>
    <row r="1" spans="1:10" x14ac:dyDescent="0.3">
      <c r="A1" t="s">
        <v>66</v>
      </c>
    </row>
    <row r="2" spans="1:10" x14ac:dyDescent="0.3">
      <c r="A2" t="s">
        <v>65</v>
      </c>
      <c r="B2" t="s">
        <v>84</v>
      </c>
      <c r="C2" t="s">
        <v>61</v>
      </c>
      <c r="D2" t="s">
        <v>67</v>
      </c>
      <c r="E2" t="s">
        <v>60</v>
      </c>
      <c r="F2" t="s">
        <v>59</v>
      </c>
      <c r="G2" t="s">
        <v>58</v>
      </c>
      <c r="H2" t="s">
        <v>31</v>
      </c>
      <c r="I2" t="s">
        <v>129</v>
      </c>
      <c r="J2" t="s">
        <v>130</v>
      </c>
    </row>
    <row r="3" spans="1:10" x14ac:dyDescent="0.3">
      <c r="A3">
        <v>4997</v>
      </c>
      <c r="B3" t="s">
        <v>69</v>
      </c>
      <c r="C3">
        <v>3482</v>
      </c>
      <c r="D3" s="3">
        <v>42043</v>
      </c>
      <c r="F3" t="s">
        <v>8</v>
      </c>
      <c r="G3" s="2" t="s">
        <v>7</v>
      </c>
      <c r="H3" s="1">
        <v>34607</v>
      </c>
      <c r="I3" t="s">
        <v>131</v>
      </c>
      <c r="J3" t="s">
        <v>132</v>
      </c>
    </row>
    <row r="4" spans="1:10" x14ac:dyDescent="0.3">
      <c r="A4">
        <v>4336</v>
      </c>
      <c r="B4" t="s">
        <v>70</v>
      </c>
      <c r="C4">
        <v>3992</v>
      </c>
      <c r="D4" s="3">
        <v>42049</v>
      </c>
      <c r="F4" t="s">
        <v>8</v>
      </c>
      <c r="G4" s="2" t="s">
        <v>0</v>
      </c>
      <c r="H4" s="1">
        <v>25859</v>
      </c>
      <c r="I4" t="s">
        <v>131</v>
      </c>
      <c r="J4" t="s">
        <v>132</v>
      </c>
    </row>
    <row r="5" spans="1:10" x14ac:dyDescent="0.3">
      <c r="A5">
        <v>4951</v>
      </c>
      <c r="B5" t="s">
        <v>71</v>
      </c>
      <c r="C5">
        <v>3073</v>
      </c>
      <c r="D5" s="3">
        <v>42068</v>
      </c>
      <c r="F5" t="s">
        <v>27</v>
      </c>
      <c r="G5" s="2" t="s">
        <v>0</v>
      </c>
      <c r="H5" s="1">
        <v>26569</v>
      </c>
      <c r="I5" t="s">
        <v>133</v>
      </c>
      <c r="J5" t="s">
        <v>134</v>
      </c>
    </row>
    <row r="6" spans="1:10" x14ac:dyDescent="0.3">
      <c r="A6">
        <v>3810</v>
      </c>
      <c r="B6" t="s">
        <v>72</v>
      </c>
      <c r="C6">
        <v>3997</v>
      </c>
      <c r="D6" s="3">
        <v>42074</v>
      </c>
      <c r="F6" t="s">
        <v>1</v>
      </c>
      <c r="G6" s="2" t="s">
        <v>7</v>
      </c>
      <c r="H6" s="1">
        <v>24017</v>
      </c>
      <c r="I6" t="s">
        <v>131</v>
      </c>
      <c r="J6" t="s">
        <v>132</v>
      </c>
    </row>
    <row r="7" spans="1:10" x14ac:dyDescent="0.3">
      <c r="A7">
        <v>3090</v>
      </c>
      <c r="B7" t="s">
        <v>73</v>
      </c>
      <c r="C7">
        <v>3750</v>
      </c>
      <c r="D7" s="3">
        <v>42084</v>
      </c>
      <c r="E7" s="3">
        <v>42312</v>
      </c>
      <c r="F7" t="s">
        <v>47</v>
      </c>
      <c r="G7" s="2" t="s">
        <v>0</v>
      </c>
      <c r="H7" s="1">
        <v>31674</v>
      </c>
      <c r="I7" t="s">
        <v>135</v>
      </c>
      <c r="J7" t="s">
        <v>136</v>
      </c>
    </row>
    <row r="8" spans="1:10" x14ac:dyDescent="0.3">
      <c r="A8">
        <v>4862</v>
      </c>
      <c r="B8" t="s">
        <v>74</v>
      </c>
      <c r="C8">
        <v>3922</v>
      </c>
      <c r="D8" s="3">
        <v>42101</v>
      </c>
      <c r="F8" t="s">
        <v>10</v>
      </c>
      <c r="G8" s="2" t="s">
        <v>0</v>
      </c>
      <c r="H8" s="1">
        <v>30223</v>
      </c>
      <c r="I8" t="s">
        <v>137</v>
      </c>
      <c r="J8" t="s">
        <v>134</v>
      </c>
    </row>
    <row r="9" spans="1:10" x14ac:dyDescent="0.3">
      <c r="A9">
        <v>4542</v>
      </c>
      <c r="B9" t="s">
        <v>75</v>
      </c>
      <c r="C9">
        <v>3557</v>
      </c>
      <c r="D9" s="3">
        <v>42126</v>
      </c>
      <c r="F9" t="s">
        <v>57</v>
      </c>
      <c r="G9" s="2" t="s">
        <v>0</v>
      </c>
      <c r="H9" s="1">
        <v>24743</v>
      </c>
      <c r="I9" t="s">
        <v>135</v>
      </c>
      <c r="J9" t="s">
        <v>134</v>
      </c>
    </row>
    <row r="10" spans="1:10" x14ac:dyDescent="0.3">
      <c r="A10">
        <v>5039</v>
      </c>
      <c r="B10" t="s">
        <v>76</v>
      </c>
      <c r="C10">
        <v>3032</v>
      </c>
      <c r="D10" s="3">
        <v>42222</v>
      </c>
      <c r="F10" t="s">
        <v>30</v>
      </c>
      <c r="G10" s="2" t="s">
        <v>7</v>
      </c>
      <c r="H10" s="1">
        <v>25844</v>
      </c>
      <c r="I10" t="s">
        <v>133</v>
      </c>
      <c r="J10" t="s">
        <v>138</v>
      </c>
    </row>
    <row r="11" spans="1:10" x14ac:dyDescent="0.3">
      <c r="A11">
        <v>3136</v>
      </c>
      <c r="B11" t="s">
        <v>77</v>
      </c>
      <c r="C11">
        <v>3018</v>
      </c>
      <c r="D11" s="3">
        <v>42277</v>
      </c>
      <c r="F11" t="s">
        <v>56</v>
      </c>
      <c r="G11" s="2" t="s">
        <v>0</v>
      </c>
      <c r="H11" s="1">
        <v>29126</v>
      </c>
      <c r="I11" t="s">
        <v>139</v>
      </c>
      <c r="J11" t="s">
        <v>136</v>
      </c>
    </row>
    <row r="12" spans="1:10" x14ac:dyDescent="0.3">
      <c r="A12">
        <v>4118</v>
      </c>
      <c r="B12" t="s">
        <v>78</v>
      </c>
      <c r="C12">
        <v>3950</v>
      </c>
      <c r="D12" s="3">
        <v>42286</v>
      </c>
      <c r="F12" t="s">
        <v>11</v>
      </c>
      <c r="G12" s="2" t="s">
        <v>0</v>
      </c>
      <c r="H12" s="1">
        <v>31321</v>
      </c>
      <c r="I12" t="s">
        <v>137</v>
      </c>
      <c r="J12" t="s">
        <v>136</v>
      </c>
    </row>
    <row r="13" spans="1:10" x14ac:dyDescent="0.3">
      <c r="A13">
        <v>3694</v>
      </c>
      <c r="B13" t="s">
        <v>79</v>
      </c>
      <c r="C13">
        <v>3152</v>
      </c>
      <c r="D13" s="3">
        <v>42312</v>
      </c>
      <c r="F13" t="s">
        <v>8</v>
      </c>
      <c r="G13" s="2" t="s">
        <v>0</v>
      </c>
      <c r="H13" s="1">
        <v>24758</v>
      </c>
      <c r="I13" t="s">
        <v>131</v>
      </c>
      <c r="J13" t="s">
        <v>132</v>
      </c>
    </row>
    <row r="14" spans="1:10" x14ac:dyDescent="0.3">
      <c r="A14">
        <v>3746</v>
      </c>
      <c r="B14" t="s">
        <v>80</v>
      </c>
      <c r="C14">
        <v>3352</v>
      </c>
      <c r="D14" s="3">
        <v>42331</v>
      </c>
      <c r="E14" s="3">
        <v>42583</v>
      </c>
      <c r="F14" t="s">
        <v>1</v>
      </c>
      <c r="G14" s="2" t="s">
        <v>7</v>
      </c>
      <c r="H14" s="1">
        <v>34254</v>
      </c>
      <c r="I14" t="s">
        <v>131</v>
      </c>
      <c r="J14" t="s">
        <v>132</v>
      </c>
    </row>
    <row r="15" spans="1:10" x14ac:dyDescent="0.3">
      <c r="A15">
        <v>3233</v>
      </c>
      <c r="B15" t="s">
        <v>81</v>
      </c>
      <c r="C15">
        <v>3865</v>
      </c>
      <c r="D15" s="3">
        <v>42332</v>
      </c>
      <c r="F15" t="s">
        <v>27</v>
      </c>
      <c r="G15" s="2" t="s">
        <v>7</v>
      </c>
      <c r="H15" s="1">
        <v>24445</v>
      </c>
      <c r="I15" t="s">
        <v>133</v>
      </c>
      <c r="J15" t="s">
        <v>134</v>
      </c>
    </row>
    <row r="16" spans="1:10" x14ac:dyDescent="0.3">
      <c r="A16">
        <v>3521</v>
      </c>
      <c r="B16" t="s">
        <v>82</v>
      </c>
      <c r="C16">
        <v>3939</v>
      </c>
      <c r="D16" s="3">
        <v>42365</v>
      </c>
      <c r="F16" t="s">
        <v>33</v>
      </c>
      <c r="G16" s="2" t="s">
        <v>0</v>
      </c>
      <c r="H16" s="1">
        <f ca="1">DATE(1974,MONTH(TODAY()),DAY(TODAY())+6)</f>
        <v>27324</v>
      </c>
      <c r="I16" t="s">
        <v>133</v>
      </c>
      <c r="J16" t="s">
        <v>136</v>
      </c>
    </row>
    <row r="17" spans="1:10" x14ac:dyDescent="0.3">
      <c r="A17">
        <v>3023</v>
      </c>
      <c r="B17" t="s">
        <v>83</v>
      </c>
      <c r="C17">
        <v>3572</v>
      </c>
      <c r="D17" s="3">
        <v>42367</v>
      </c>
      <c r="E17" s="3">
        <v>42600</v>
      </c>
      <c r="F17" t="s">
        <v>8</v>
      </c>
      <c r="G17" s="2" t="s">
        <v>0</v>
      </c>
      <c r="H17" s="1">
        <v>33517</v>
      </c>
      <c r="I17" t="s">
        <v>131</v>
      </c>
      <c r="J17" t="s">
        <v>132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4D7D-84E3-4D52-9B05-5FFBFBBDAF25}">
  <dimension ref="A1:M18"/>
  <sheetViews>
    <sheetView workbookViewId="0">
      <selection activeCell="L1" sqref="L1:M1"/>
    </sheetView>
  </sheetViews>
  <sheetFormatPr defaultRowHeight="14.4" x14ac:dyDescent="0.3"/>
  <cols>
    <col min="1" max="1" width="10.88671875" customWidth="1"/>
    <col min="2" max="3" width="10.44140625" customWidth="1"/>
    <col min="4" max="4" width="10.6640625" bestFit="1" customWidth="1"/>
    <col min="5" max="5" width="8.109375" customWidth="1"/>
    <col min="6" max="6" width="14.88671875" customWidth="1"/>
    <col min="7" max="7" width="10.88671875" customWidth="1"/>
    <col min="8" max="8" width="9.33203125" customWidth="1"/>
    <col min="9" max="9" width="11.33203125" bestFit="1" customWidth="1"/>
    <col min="10" max="10" width="12.88671875" customWidth="1"/>
    <col min="12" max="12" width="12.5546875" bestFit="1" customWidth="1"/>
  </cols>
  <sheetData>
    <row r="1" spans="1:13" x14ac:dyDescent="0.3">
      <c r="A1" t="s">
        <v>65</v>
      </c>
      <c r="B1" t="s">
        <v>64</v>
      </c>
      <c r="C1" t="s">
        <v>63</v>
      </c>
      <c r="D1" t="s">
        <v>62</v>
      </c>
      <c r="E1" t="s">
        <v>61</v>
      </c>
      <c r="F1" t="s">
        <v>67</v>
      </c>
      <c r="G1" t="s">
        <v>60</v>
      </c>
      <c r="H1" t="s">
        <v>59</v>
      </c>
      <c r="I1" t="s">
        <v>58</v>
      </c>
      <c r="J1" t="s">
        <v>31</v>
      </c>
      <c r="K1" t="s">
        <v>68</v>
      </c>
      <c r="L1" t="s">
        <v>129</v>
      </c>
      <c r="M1" t="s">
        <v>130</v>
      </c>
    </row>
    <row r="2" spans="1:13" x14ac:dyDescent="0.3">
      <c r="A2" s="7">
        <v>3401</v>
      </c>
      <c r="B2" s="8" t="s">
        <v>55</v>
      </c>
      <c r="C2" s="8" t="s">
        <v>34</v>
      </c>
      <c r="D2" s="8" t="s">
        <v>5</v>
      </c>
      <c r="E2" s="8">
        <v>3752</v>
      </c>
      <c r="F2" s="11">
        <v>42398</v>
      </c>
      <c r="G2" s="8"/>
      <c r="H2" s="8" t="s">
        <v>54</v>
      </c>
      <c r="I2" s="9" t="s">
        <v>0</v>
      </c>
      <c r="J2" s="10">
        <v>26954</v>
      </c>
      <c r="K2">
        <v>46</v>
      </c>
      <c r="L2" t="s">
        <v>139</v>
      </c>
      <c r="M2" t="s">
        <v>138</v>
      </c>
    </row>
    <row r="3" spans="1:13" x14ac:dyDescent="0.3">
      <c r="A3" s="7">
        <v>4373</v>
      </c>
      <c r="B3" s="8" t="s">
        <v>28</v>
      </c>
      <c r="C3" s="8" t="s">
        <v>38</v>
      </c>
      <c r="D3" s="8" t="s">
        <v>5</v>
      </c>
      <c r="E3" s="8">
        <v>3655</v>
      </c>
      <c r="F3" s="11">
        <v>42433</v>
      </c>
      <c r="G3" s="8"/>
      <c r="H3" s="8" t="s">
        <v>1</v>
      </c>
      <c r="I3" s="9" t="s">
        <v>7</v>
      </c>
      <c r="J3" s="10">
        <v>33872</v>
      </c>
      <c r="K3">
        <v>27</v>
      </c>
      <c r="L3" t="s">
        <v>131</v>
      </c>
      <c r="M3" t="s">
        <v>132</v>
      </c>
    </row>
    <row r="4" spans="1:13" x14ac:dyDescent="0.3">
      <c r="A4" s="7">
        <v>3838</v>
      </c>
      <c r="B4" s="8" t="s">
        <v>53</v>
      </c>
      <c r="C4" s="8" t="s">
        <v>24</v>
      </c>
      <c r="D4" s="8" t="s">
        <v>5</v>
      </c>
      <c r="E4" s="8">
        <v>3766</v>
      </c>
      <c r="F4" s="11">
        <v>42435</v>
      </c>
      <c r="G4" s="8"/>
      <c r="H4" s="8" t="s">
        <v>1</v>
      </c>
      <c r="I4" s="9" t="s">
        <v>7</v>
      </c>
      <c r="J4" s="10">
        <v>31329</v>
      </c>
      <c r="K4">
        <v>34</v>
      </c>
      <c r="L4" t="s">
        <v>131</v>
      </c>
      <c r="M4" t="s">
        <v>132</v>
      </c>
    </row>
    <row r="5" spans="1:13" x14ac:dyDescent="0.3">
      <c r="A5" s="7">
        <v>3053</v>
      </c>
      <c r="B5" s="8" t="s">
        <v>52</v>
      </c>
      <c r="C5" s="8" t="s">
        <v>6</v>
      </c>
      <c r="D5" s="8" t="s">
        <v>5</v>
      </c>
      <c r="E5" s="8">
        <v>3553</v>
      </c>
      <c r="F5" s="11">
        <v>42453</v>
      </c>
      <c r="G5" s="8"/>
      <c r="H5" s="8" t="s">
        <v>8</v>
      </c>
      <c r="I5" s="9" t="s">
        <v>0</v>
      </c>
      <c r="J5" s="10">
        <v>23651</v>
      </c>
      <c r="K5">
        <v>55</v>
      </c>
      <c r="L5" t="s">
        <v>131</v>
      </c>
      <c r="M5" t="s">
        <v>132</v>
      </c>
    </row>
    <row r="6" spans="1:13" x14ac:dyDescent="0.3">
      <c r="A6" s="7">
        <v>3582</v>
      </c>
      <c r="B6" s="8" t="s">
        <v>37</v>
      </c>
      <c r="C6" s="8" t="s">
        <v>46</v>
      </c>
      <c r="D6" s="8" t="s">
        <v>5</v>
      </c>
      <c r="E6" s="8">
        <v>3338</v>
      </c>
      <c r="F6" s="11">
        <v>42461</v>
      </c>
      <c r="G6" s="8"/>
      <c r="H6" s="8" t="s">
        <v>27</v>
      </c>
      <c r="I6" s="9" t="s">
        <v>7</v>
      </c>
      <c r="J6" s="10">
        <v>33880</v>
      </c>
      <c r="K6">
        <v>27</v>
      </c>
      <c r="L6" t="s">
        <v>133</v>
      </c>
      <c r="M6" t="s">
        <v>134</v>
      </c>
    </row>
    <row r="7" spans="1:13" x14ac:dyDescent="0.3">
      <c r="A7" s="7">
        <v>4503</v>
      </c>
      <c r="B7" s="8" t="s">
        <v>32</v>
      </c>
      <c r="C7" s="8" t="s">
        <v>51</v>
      </c>
      <c r="D7" s="8" t="s">
        <v>5</v>
      </c>
      <c r="E7" s="8">
        <v>3150</v>
      </c>
      <c r="F7" s="11">
        <v>42467</v>
      </c>
      <c r="G7" s="8"/>
      <c r="H7" s="8" t="s">
        <v>1</v>
      </c>
      <c r="I7" s="9" t="s">
        <v>7</v>
      </c>
      <c r="J7" s="10">
        <v>25119</v>
      </c>
      <c r="K7">
        <v>51</v>
      </c>
      <c r="L7" t="s">
        <v>131</v>
      </c>
      <c r="M7" t="s">
        <v>132</v>
      </c>
    </row>
    <row r="8" spans="1:13" x14ac:dyDescent="0.3">
      <c r="A8" s="7">
        <v>4942</v>
      </c>
      <c r="B8" s="8" t="s">
        <v>3</v>
      </c>
      <c r="C8" s="8" t="s">
        <v>18</v>
      </c>
      <c r="D8" s="8" t="s">
        <v>31</v>
      </c>
      <c r="E8" s="8">
        <v>3317</v>
      </c>
      <c r="F8" s="11">
        <v>42489</v>
      </c>
      <c r="G8" s="8"/>
      <c r="H8" s="8" t="s">
        <v>8</v>
      </c>
      <c r="I8" s="9" t="s">
        <v>0</v>
      </c>
      <c r="J8" s="10">
        <v>25482</v>
      </c>
      <c r="K8">
        <v>50</v>
      </c>
      <c r="L8" t="s">
        <v>131</v>
      </c>
      <c r="M8" t="s">
        <v>132</v>
      </c>
    </row>
    <row r="9" spans="1:13" x14ac:dyDescent="0.3">
      <c r="A9" s="7">
        <v>3293</v>
      </c>
      <c r="B9" s="8" t="s">
        <v>50</v>
      </c>
      <c r="C9" s="8" t="s">
        <v>49</v>
      </c>
      <c r="D9" s="8" t="s">
        <v>48</v>
      </c>
      <c r="E9" s="8">
        <v>3096</v>
      </c>
      <c r="F9" s="11">
        <v>42532</v>
      </c>
      <c r="G9" s="8"/>
      <c r="H9" s="8" t="s">
        <v>47</v>
      </c>
      <c r="I9" s="9" t="s">
        <v>0</v>
      </c>
      <c r="J9" s="10">
        <v>26576</v>
      </c>
      <c r="K9">
        <v>47</v>
      </c>
      <c r="L9" t="s">
        <v>135</v>
      </c>
      <c r="M9" t="s">
        <v>136</v>
      </c>
    </row>
    <row r="10" spans="1:13" x14ac:dyDescent="0.3">
      <c r="A10" s="7">
        <v>4549</v>
      </c>
      <c r="B10" s="8" t="s">
        <v>41</v>
      </c>
      <c r="C10" s="8" t="s">
        <v>2</v>
      </c>
      <c r="D10" s="8" t="s">
        <v>46</v>
      </c>
      <c r="E10" s="8">
        <v>3119</v>
      </c>
      <c r="F10" s="11">
        <v>42533</v>
      </c>
      <c r="G10" s="8"/>
      <c r="H10" s="8" t="s">
        <v>1</v>
      </c>
      <c r="I10" s="9" t="s">
        <v>0</v>
      </c>
      <c r="J10" s="10">
        <v>25105</v>
      </c>
      <c r="K10">
        <v>51</v>
      </c>
      <c r="L10" t="s">
        <v>131</v>
      </c>
      <c r="M10" t="s">
        <v>132</v>
      </c>
    </row>
    <row r="11" spans="1:13" x14ac:dyDescent="0.3">
      <c r="A11" s="7">
        <v>3721</v>
      </c>
      <c r="B11" s="8" t="s">
        <v>15</v>
      </c>
      <c r="C11" s="8" t="s">
        <v>9</v>
      </c>
      <c r="D11" s="8" t="s">
        <v>26</v>
      </c>
      <c r="E11" s="8">
        <v>3305</v>
      </c>
      <c r="F11" s="11">
        <v>42539</v>
      </c>
      <c r="G11" s="8"/>
      <c r="H11" s="8" t="s">
        <v>8</v>
      </c>
      <c r="I11" s="9" t="s">
        <v>7</v>
      </c>
      <c r="J11" s="10">
        <v>34608</v>
      </c>
      <c r="K11">
        <v>25</v>
      </c>
      <c r="L11" t="s">
        <v>131</v>
      </c>
      <c r="M11" t="s">
        <v>132</v>
      </c>
    </row>
    <row r="12" spans="1:13" x14ac:dyDescent="0.3">
      <c r="A12" s="7">
        <v>3877</v>
      </c>
      <c r="B12" s="8" t="s">
        <v>45</v>
      </c>
      <c r="C12" s="8" t="s">
        <v>29</v>
      </c>
      <c r="D12" s="8" t="s">
        <v>5</v>
      </c>
      <c r="E12" s="8">
        <v>3429</v>
      </c>
      <c r="F12" s="11">
        <v>42543</v>
      </c>
      <c r="G12" s="8"/>
      <c r="H12" s="8" t="s">
        <v>13</v>
      </c>
      <c r="I12" s="9" t="s">
        <v>0</v>
      </c>
      <c r="J12" s="10">
        <v>29857</v>
      </c>
      <c r="K12">
        <v>38</v>
      </c>
      <c r="L12" t="s">
        <v>137</v>
      </c>
      <c r="M12" t="s">
        <v>134</v>
      </c>
    </row>
    <row r="13" spans="1:13" x14ac:dyDescent="0.3">
      <c r="A13" s="7">
        <v>3253</v>
      </c>
      <c r="B13" s="8" t="s">
        <v>12</v>
      </c>
      <c r="C13" s="8" t="s">
        <v>44</v>
      </c>
      <c r="D13" s="8" t="s">
        <v>5</v>
      </c>
      <c r="E13" s="8">
        <v>3568</v>
      </c>
      <c r="F13" s="11">
        <v>42593</v>
      </c>
      <c r="G13" s="8"/>
      <c r="H13" s="8" t="s">
        <v>1</v>
      </c>
      <c r="I13" s="9" t="s">
        <v>0</v>
      </c>
      <c r="J13" s="10">
        <v>32788</v>
      </c>
      <c r="K13">
        <v>30</v>
      </c>
      <c r="L13" t="s">
        <v>131</v>
      </c>
      <c r="M13" t="s">
        <v>132</v>
      </c>
    </row>
    <row r="14" spans="1:13" x14ac:dyDescent="0.3">
      <c r="A14" s="7">
        <v>3573</v>
      </c>
      <c r="B14" s="8" t="s">
        <v>14</v>
      </c>
      <c r="C14" s="8" t="s">
        <v>17</v>
      </c>
      <c r="D14" s="8" t="s">
        <v>5</v>
      </c>
      <c r="E14" s="8">
        <v>3304</v>
      </c>
      <c r="F14" s="11">
        <v>42599</v>
      </c>
      <c r="G14" s="11">
        <v>42882</v>
      </c>
      <c r="H14" s="8" t="s">
        <v>22</v>
      </c>
      <c r="I14" s="9" t="s">
        <v>0</v>
      </c>
      <c r="J14" s="10">
        <v>28769</v>
      </c>
      <c r="K14">
        <v>41</v>
      </c>
      <c r="L14" t="s">
        <v>140</v>
      </c>
      <c r="M14" t="s">
        <v>132</v>
      </c>
    </row>
    <row r="15" spans="1:13" x14ac:dyDescent="0.3">
      <c r="A15" s="7">
        <v>4679</v>
      </c>
      <c r="B15" s="8" t="s">
        <v>43</v>
      </c>
      <c r="C15" s="8" t="s">
        <v>42</v>
      </c>
      <c r="D15" s="8" t="s">
        <v>19</v>
      </c>
      <c r="E15" s="8">
        <v>3313</v>
      </c>
      <c r="F15" s="11">
        <v>42619</v>
      </c>
      <c r="G15" s="8"/>
      <c r="H15" s="8" t="s">
        <v>10</v>
      </c>
      <c r="I15" s="9" t="s">
        <v>0</v>
      </c>
      <c r="J15" s="10">
        <v>31690</v>
      </c>
      <c r="K15">
        <v>33</v>
      </c>
      <c r="L15" t="s">
        <v>137</v>
      </c>
      <c r="M15" t="s">
        <v>134</v>
      </c>
    </row>
    <row r="16" spans="1:13" x14ac:dyDescent="0.3">
      <c r="A16" s="7">
        <v>3926</v>
      </c>
      <c r="B16" s="8" t="s">
        <v>36</v>
      </c>
      <c r="C16" s="8" t="s">
        <v>34</v>
      </c>
      <c r="D16" s="8" t="s">
        <v>5</v>
      </c>
      <c r="E16" s="8">
        <v>3430</v>
      </c>
      <c r="F16" s="11">
        <v>42635</v>
      </c>
      <c r="G16" s="8"/>
      <c r="H16" s="8" t="s">
        <v>8</v>
      </c>
      <c r="I16" s="9" t="s">
        <v>0</v>
      </c>
      <c r="J16" s="10">
        <v>32417</v>
      </c>
      <c r="K16">
        <v>31</v>
      </c>
      <c r="L16" t="s">
        <v>131</v>
      </c>
      <c r="M16" t="s">
        <v>132</v>
      </c>
    </row>
    <row r="17" spans="1:13" x14ac:dyDescent="0.3">
      <c r="A17" s="7">
        <v>3120</v>
      </c>
      <c r="B17" s="8" t="s">
        <v>41</v>
      </c>
      <c r="C17" s="8" t="s">
        <v>18</v>
      </c>
      <c r="D17" s="8" t="s">
        <v>31</v>
      </c>
      <c r="E17" s="8">
        <v>3135</v>
      </c>
      <c r="F17" s="11">
        <v>42637</v>
      </c>
      <c r="G17" s="11">
        <v>42891</v>
      </c>
      <c r="H17" s="8" t="s">
        <v>1</v>
      </c>
      <c r="I17" s="9" t="s">
        <v>0</v>
      </c>
      <c r="J17" s="10">
        <v>23661</v>
      </c>
      <c r="K17">
        <v>55</v>
      </c>
      <c r="L17" t="s">
        <v>131</v>
      </c>
      <c r="M17" t="s">
        <v>132</v>
      </c>
    </row>
    <row r="18" spans="1:13" x14ac:dyDescent="0.3">
      <c r="A18" s="12">
        <v>3563</v>
      </c>
      <c r="B18" s="13" t="s">
        <v>15</v>
      </c>
      <c r="C18" s="13" t="s">
        <v>40</v>
      </c>
      <c r="D18" s="13" t="s">
        <v>20</v>
      </c>
      <c r="E18" s="13">
        <v>3767</v>
      </c>
      <c r="F18" s="16">
        <v>42697</v>
      </c>
      <c r="G18" s="13"/>
      <c r="H18" s="13" t="s">
        <v>10</v>
      </c>
      <c r="I18" s="14" t="s">
        <v>7</v>
      </c>
      <c r="J18" s="15">
        <v>31329</v>
      </c>
      <c r="K18">
        <v>34</v>
      </c>
      <c r="L18" t="s">
        <v>137</v>
      </c>
      <c r="M18" t="s">
        <v>134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D982-95DD-49A5-BE95-A4C61D7E54F2}">
  <dimension ref="A1:K25"/>
  <sheetViews>
    <sheetView topLeftCell="B1" zoomScale="115" zoomScaleNormal="115" workbookViewId="0">
      <selection activeCell="J2" sqref="J2:K25"/>
    </sheetView>
  </sheetViews>
  <sheetFormatPr defaultRowHeight="14.4" x14ac:dyDescent="0.3"/>
  <cols>
    <col min="1" max="1" width="10.88671875" customWidth="1"/>
    <col min="2" max="2" width="21.88671875" bestFit="1" customWidth="1"/>
    <col min="3" max="3" width="9.5546875" customWidth="1"/>
    <col min="4" max="4" width="13.88671875" customWidth="1"/>
    <col min="5" max="5" width="10.88671875" customWidth="1"/>
    <col min="6" max="6" width="9.33203125" customWidth="1"/>
    <col min="7" max="7" width="11.33203125" bestFit="1" customWidth="1"/>
    <col min="8" max="8" width="12.88671875" customWidth="1"/>
    <col min="10" max="10" width="9.5546875" bestFit="1" customWidth="1"/>
    <col min="11" max="11" width="17.88671875" bestFit="1" customWidth="1"/>
  </cols>
  <sheetData>
    <row r="1" spans="1:11" ht="15" thickBot="1" x14ac:dyDescent="0.35">
      <c r="A1" s="4" t="s">
        <v>65</v>
      </c>
      <c r="B1" s="5" t="s">
        <v>84</v>
      </c>
      <c r="C1" s="5" t="s">
        <v>61</v>
      </c>
      <c r="D1" s="5" t="s">
        <v>124</v>
      </c>
      <c r="E1" s="5" t="s">
        <v>60</v>
      </c>
      <c r="F1" s="5" t="s">
        <v>59</v>
      </c>
      <c r="G1" s="5" t="s">
        <v>58</v>
      </c>
      <c r="H1" s="6" t="s">
        <v>31</v>
      </c>
      <c r="I1" s="5" t="s">
        <v>68</v>
      </c>
      <c r="J1" s="5" t="s">
        <v>129</v>
      </c>
      <c r="K1" s="5" t="s">
        <v>130</v>
      </c>
    </row>
    <row r="2" spans="1:11" ht="15" thickTop="1" x14ac:dyDescent="0.3">
      <c r="A2" s="7">
        <v>5053</v>
      </c>
      <c r="B2" s="8" t="s">
        <v>85</v>
      </c>
      <c r="C2" s="8">
        <v>4000</v>
      </c>
      <c r="D2" s="11">
        <v>42742</v>
      </c>
      <c r="E2" s="8"/>
      <c r="F2" s="8" t="s">
        <v>8</v>
      </c>
      <c r="G2" s="9" t="s">
        <v>7</v>
      </c>
      <c r="H2" s="10">
        <v>27300</v>
      </c>
      <c r="I2" s="9">
        <v>45</v>
      </c>
      <c r="J2" t="s">
        <v>131</v>
      </c>
      <c r="K2" s="17" t="s">
        <v>132</v>
      </c>
    </row>
    <row r="3" spans="1:11" x14ac:dyDescent="0.3">
      <c r="A3" s="7">
        <v>4670</v>
      </c>
      <c r="B3" s="8" t="s">
        <v>86</v>
      </c>
      <c r="C3" s="8">
        <v>3077</v>
      </c>
      <c r="D3" s="11">
        <v>42753</v>
      </c>
      <c r="E3" s="8"/>
      <c r="F3" s="8" t="s">
        <v>21</v>
      </c>
      <c r="G3" s="9" t="s">
        <v>7</v>
      </c>
      <c r="H3" s="10">
        <v>28399</v>
      </c>
      <c r="I3" s="9">
        <v>42</v>
      </c>
      <c r="J3" t="s">
        <v>137</v>
      </c>
      <c r="K3" s="17" t="s">
        <v>138</v>
      </c>
    </row>
    <row r="4" spans="1:11" x14ac:dyDescent="0.3">
      <c r="A4" s="7">
        <v>4662</v>
      </c>
      <c r="B4" s="8" t="s">
        <v>87</v>
      </c>
      <c r="C4" s="8">
        <v>3645</v>
      </c>
      <c r="D4" s="11">
        <v>42780</v>
      </c>
      <c r="E4" s="8"/>
      <c r="F4" s="8" t="s">
        <v>1</v>
      </c>
      <c r="G4" s="9" t="s">
        <v>7</v>
      </c>
      <c r="H4" s="10">
        <v>27303</v>
      </c>
      <c r="I4" s="9">
        <v>45</v>
      </c>
      <c r="J4" t="s">
        <v>131</v>
      </c>
      <c r="K4" s="17" t="s">
        <v>132</v>
      </c>
    </row>
    <row r="5" spans="1:11" x14ac:dyDescent="0.3">
      <c r="A5" s="7">
        <v>4236</v>
      </c>
      <c r="B5" s="8" t="s">
        <v>88</v>
      </c>
      <c r="C5" s="8">
        <v>3896</v>
      </c>
      <c r="D5" s="11">
        <v>42807</v>
      </c>
      <c r="E5" s="8"/>
      <c r="F5" s="8" t="s">
        <v>39</v>
      </c>
      <c r="G5" s="9" t="s">
        <v>0</v>
      </c>
      <c r="H5" s="10">
        <v>27675</v>
      </c>
      <c r="I5" s="9">
        <v>44</v>
      </c>
      <c r="J5" t="s">
        <v>135</v>
      </c>
      <c r="K5" s="17" t="s">
        <v>138</v>
      </c>
    </row>
    <row r="6" spans="1:11" x14ac:dyDescent="0.3">
      <c r="A6" s="7">
        <v>3389</v>
      </c>
      <c r="B6" s="8" t="s">
        <v>89</v>
      </c>
      <c r="C6" s="8">
        <v>3642</v>
      </c>
      <c r="D6" s="11">
        <v>42822</v>
      </c>
      <c r="E6" s="8"/>
      <c r="F6" s="8" t="s">
        <v>8</v>
      </c>
      <c r="G6" s="9" t="s">
        <v>7</v>
      </c>
      <c r="H6" s="10">
        <v>24380</v>
      </c>
      <c r="I6" s="9">
        <v>53</v>
      </c>
      <c r="J6" t="s">
        <v>131</v>
      </c>
      <c r="K6" s="17" t="s">
        <v>132</v>
      </c>
    </row>
    <row r="7" spans="1:11" x14ac:dyDescent="0.3">
      <c r="A7" s="7">
        <v>4806</v>
      </c>
      <c r="B7" s="8" t="s">
        <v>90</v>
      </c>
      <c r="C7" s="8">
        <v>3407</v>
      </c>
      <c r="D7" s="11">
        <v>42825</v>
      </c>
      <c r="E7" s="8"/>
      <c r="F7" s="8" t="s">
        <v>8</v>
      </c>
      <c r="G7" s="9" t="s">
        <v>0</v>
      </c>
      <c r="H7" s="10">
        <v>26583</v>
      </c>
      <c r="I7" s="9">
        <v>47</v>
      </c>
      <c r="J7" t="s">
        <v>131</v>
      </c>
      <c r="K7" s="17" t="s">
        <v>132</v>
      </c>
    </row>
    <row r="8" spans="1:11" x14ac:dyDescent="0.3">
      <c r="A8" s="7">
        <v>4472</v>
      </c>
      <c r="B8" s="8" t="s">
        <v>91</v>
      </c>
      <c r="C8" s="8">
        <v>3536</v>
      </c>
      <c r="D8" s="11">
        <v>42827</v>
      </c>
      <c r="E8" s="8"/>
      <c r="F8" s="8" t="s">
        <v>13</v>
      </c>
      <c r="G8" s="9" t="s">
        <v>7</v>
      </c>
      <c r="H8" s="10">
        <v>31329</v>
      </c>
      <c r="I8" s="9">
        <v>34</v>
      </c>
      <c r="J8" t="s">
        <v>137</v>
      </c>
      <c r="K8" s="17" t="s">
        <v>134</v>
      </c>
    </row>
    <row r="9" spans="1:11" x14ac:dyDescent="0.3">
      <c r="A9" s="7">
        <v>3944</v>
      </c>
      <c r="B9" s="8" t="s">
        <v>92</v>
      </c>
      <c r="C9" s="8">
        <v>3608</v>
      </c>
      <c r="D9" s="11">
        <v>42888</v>
      </c>
      <c r="E9" s="8"/>
      <c r="F9" s="8" t="s">
        <v>35</v>
      </c>
      <c r="G9" s="9" t="s">
        <v>0</v>
      </c>
      <c r="H9" s="10">
        <v>29495</v>
      </c>
      <c r="I9" s="9">
        <v>39</v>
      </c>
      <c r="J9" t="s">
        <v>135</v>
      </c>
      <c r="K9" s="17" t="s">
        <v>132</v>
      </c>
    </row>
    <row r="10" spans="1:11" x14ac:dyDescent="0.3">
      <c r="A10" s="7">
        <v>4170</v>
      </c>
      <c r="B10" s="8" t="s">
        <v>93</v>
      </c>
      <c r="C10" s="8">
        <v>3492</v>
      </c>
      <c r="D10" s="11">
        <v>42891</v>
      </c>
      <c r="E10" s="8"/>
      <c r="F10" s="8" t="s">
        <v>1</v>
      </c>
      <c r="G10" s="9" t="s">
        <v>7</v>
      </c>
      <c r="H10" s="10">
        <v>26569</v>
      </c>
      <c r="I10" s="9">
        <v>47</v>
      </c>
      <c r="J10" t="s">
        <v>131</v>
      </c>
      <c r="K10" s="17" t="s">
        <v>132</v>
      </c>
    </row>
    <row r="11" spans="1:11" x14ac:dyDescent="0.3">
      <c r="A11" s="7">
        <v>3748</v>
      </c>
      <c r="B11" s="8" t="s">
        <v>94</v>
      </c>
      <c r="C11" s="8">
        <v>3431</v>
      </c>
      <c r="D11" s="11">
        <v>42895</v>
      </c>
      <c r="E11" s="8"/>
      <c r="F11" s="8" t="s">
        <v>27</v>
      </c>
      <c r="G11" s="9" t="s">
        <v>7</v>
      </c>
      <c r="H11" s="10">
        <v>32417</v>
      </c>
      <c r="I11" s="9">
        <v>31</v>
      </c>
      <c r="J11" t="s">
        <v>133</v>
      </c>
      <c r="K11" s="17" t="s">
        <v>134</v>
      </c>
    </row>
    <row r="12" spans="1:11" x14ac:dyDescent="0.3">
      <c r="A12" s="7">
        <v>3124</v>
      </c>
      <c r="B12" s="8" t="s">
        <v>95</v>
      </c>
      <c r="C12" s="8">
        <v>3456</v>
      </c>
      <c r="D12" s="11">
        <v>42898</v>
      </c>
      <c r="E12" s="8"/>
      <c r="F12" s="8" t="s">
        <v>33</v>
      </c>
      <c r="G12" s="9" t="s">
        <v>0</v>
      </c>
      <c r="H12" s="10">
        <v>28767</v>
      </c>
      <c r="I12" s="9">
        <v>41</v>
      </c>
      <c r="J12" t="s">
        <v>133</v>
      </c>
      <c r="K12" s="17" t="s">
        <v>136</v>
      </c>
    </row>
    <row r="13" spans="1:11" x14ac:dyDescent="0.3">
      <c r="A13" s="7">
        <v>3171</v>
      </c>
      <c r="B13" s="8" t="s">
        <v>96</v>
      </c>
      <c r="C13" s="8">
        <v>3590</v>
      </c>
      <c r="D13" s="11">
        <v>42904</v>
      </c>
      <c r="E13" s="8"/>
      <c r="F13" s="8" t="s">
        <v>11</v>
      </c>
      <c r="G13" s="9" t="s">
        <v>7</v>
      </c>
      <c r="H13" s="10">
        <v>27673</v>
      </c>
      <c r="I13" s="9">
        <v>44</v>
      </c>
      <c r="J13" t="s">
        <v>137</v>
      </c>
      <c r="K13" s="17" t="s">
        <v>136</v>
      </c>
    </row>
    <row r="14" spans="1:11" x14ac:dyDescent="0.3">
      <c r="A14" s="7">
        <v>3280</v>
      </c>
      <c r="B14" s="8" t="s">
        <v>97</v>
      </c>
      <c r="C14" s="8">
        <v>3814</v>
      </c>
      <c r="D14" s="11">
        <v>42904</v>
      </c>
      <c r="E14" s="8"/>
      <c r="F14" s="8" t="s">
        <v>25</v>
      </c>
      <c r="G14" s="9" t="s">
        <v>7</v>
      </c>
      <c r="H14" s="10">
        <v>26939</v>
      </c>
      <c r="I14" s="9">
        <v>46</v>
      </c>
      <c r="J14" t="s">
        <v>137</v>
      </c>
      <c r="K14" s="17" t="s">
        <v>141</v>
      </c>
    </row>
    <row r="15" spans="1:11" x14ac:dyDescent="0.3">
      <c r="A15" s="7">
        <v>3462</v>
      </c>
      <c r="B15" s="8" t="s">
        <v>98</v>
      </c>
      <c r="C15" s="8">
        <v>3820</v>
      </c>
      <c r="D15" s="11">
        <v>42909</v>
      </c>
      <c r="E15" s="8"/>
      <c r="F15" s="8" t="s">
        <v>13</v>
      </c>
      <c r="G15" s="9" t="s">
        <v>7</v>
      </c>
      <c r="H15" s="10">
        <v>26206</v>
      </c>
      <c r="I15" s="9">
        <v>48</v>
      </c>
      <c r="J15" t="s">
        <v>137</v>
      </c>
      <c r="K15" s="17" t="s">
        <v>134</v>
      </c>
    </row>
    <row r="16" spans="1:11" x14ac:dyDescent="0.3">
      <c r="A16" s="7">
        <v>3571</v>
      </c>
      <c r="B16" s="8" t="s">
        <v>99</v>
      </c>
      <c r="C16" s="8">
        <v>3434</v>
      </c>
      <c r="D16" s="11">
        <v>42909</v>
      </c>
      <c r="E16" s="8"/>
      <c r="F16" s="8" t="s">
        <v>25</v>
      </c>
      <c r="G16" s="9" t="s">
        <v>7</v>
      </c>
      <c r="H16" s="10">
        <v>32416</v>
      </c>
      <c r="I16" s="9">
        <v>31</v>
      </c>
      <c r="J16" t="s">
        <v>137</v>
      </c>
      <c r="K16" s="17" t="s">
        <v>141</v>
      </c>
    </row>
    <row r="17" spans="1:11" x14ac:dyDescent="0.3">
      <c r="A17" s="7">
        <v>4342</v>
      </c>
      <c r="B17" s="8" t="s">
        <v>100</v>
      </c>
      <c r="C17" s="8">
        <v>3652</v>
      </c>
      <c r="D17" s="11">
        <v>42956</v>
      </c>
      <c r="E17" s="8"/>
      <c r="F17" s="8" t="s">
        <v>1</v>
      </c>
      <c r="G17" s="9" t="s">
        <v>0</v>
      </c>
      <c r="H17" s="10">
        <v>28050</v>
      </c>
      <c r="I17" s="9">
        <v>42</v>
      </c>
      <c r="J17" t="s">
        <v>131</v>
      </c>
      <c r="K17" s="17" t="s">
        <v>132</v>
      </c>
    </row>
    <row r="18" spans="1:11" x14ac:dyDescent="0.3">
      <c r="A18" s="7">
        <v>4483</v>
      </c>
      <c r="B18" s="8" t="s">
        <v>101</v>
      </c>
      <c r="C18" s="8">
        <v>3584</v>
      </c>
      <c r="D18" s="11">
        <v>42966</v>
      </c>
      <c r="E18" s="8"/>
      <c r="F18" s="8" t="s">
        <v>8</v>
      </c>
      <c r="G18" s="9" t="s">
        <v>7</v>
      </c>
      <c r="H18" s="10">
        <v>28045</v>
      </c>
      <c r="I18" s="9">
        <v>43</v>
      </c>
      <c r="J18" t="s">
        <v>131</v>
      </c>
      <c r="K18" s="17" t="s">
        <v>132</v>
      </c>
    </row>
    <row r="19" spans="1:11" x14ac:dyDescent="0.3">
      <c r="A19" s="7">
        <v>3164</v>
      </c>
      <c r="B19" s="8" t="s">
        <v>102</v>
      </c>
      <c r="C19" s="8">
        <v>3544</v>
      </c>
      <c r="D19" s="11">
        <v>42974</v>
      </c>
      <c r="E19" s="8"/>
      <c r="F19" s="8" t="s">
        <v>30</v>
      </c>
      <c r="G19" s="9" t="s">
        <v>7</v>
      </c>
      <c r="H19" s="10">
        <v>33877</v>
      </c>
      <c r="I19" s="9">
        <v>27</v>
      </c>
      <c r="J19" t="s">
        <v>133</v>
      </c>
      <c r="K19" s="17" t="s">
        <v>138</v>
      </c>
    </row>
    <row r="20" spans="1:11" x14ac:dyDescent="0.3">
      <c r="A20" s="7">
        <v>4988</v>
      </c>
      <c r="B20" s="8" t="s">
        <v>103</v>
      </c>
      <c r="C20" s="8">
        <v>3893</v>
      </c>
      <c r="D20" s="11">
        <v>43025</v>
      </c>
      <c r="E20" s="8"/>
      <c r="F20" s="8" t="s">
        <v>21</v>
      </c>
      <c r="G20" s="9" t="s">
        <v>0</v>
      </c>
      <c r="H20" s="10">
        <v>29124</v>
      </c>
      <c r="I20" s="9">
        <v>40</v>
      </c>
      <c r="J20" t="s">
        <v>137</v>
      </c>
      <c r="K20" s="17" t="s">
        <v>138</v>
      </c>
    </row>
    <row r="21" spans="1:11" x14ac:dyDescent="0.3">
      <c r="A21" s="7">
        <v>5059</v>
      </c>
      <c r="B21" s="8" t="s">
        <v>104</v>
      </c>
      <c r="C21" s="8">
        <v>3894</v>
      </c>
      <c r="D21" s="11">
        <v>43055</v>
      </c>
      <c r="E21" s="8"/>
      <c r="F21" s="8" t="s">
        <v>1</v>
      </c>
      <c r="G21" s="9" t="s">
        <v>0</v>
      </c>
      <c r="H21" s="10">
        <v>28762</v>
      </c>
      <c r="I21" s="9">
        <v>41</v>
      </c>
      <c r="J21" t="s">
        <v>131</v>
      </c>
      <c r="K21" s="17" t="s">
        <v>132</v>
      </c>
    </row>
    <row r="22" spans="1:11" x14ac:dyDescent="0.3">
      <c r="A22" s="7">
        <v>3714</v>
      </c>
      <c r="B22" s="8" t="s">
        <v>105</v>
      </c>
      <c r="C22" s="8">
        <v>3973</v>
      </c>
      <c r="D22" s="11">
        <v>43068</v>
      </c>
      <c r="E22" s="8"/>
      <c r="F22" s="8" t="s">
        <v>27</v>
      </c>
      <c r="G22" s="9" t="s">
        <v>7</v>
      </c>
      <c r="H22" s="10">
        <v>26581</v>
      </c>
      <c r="I22" s="9">
        <v>47</v>
      </c>
      <c r="J22" t="s">
        <v>133</v>
      </c>
      <c r="K22" s="17" t="s">
        <v>134</v>
      </c>
    </row>
    <row r="23" spans="1:11" x14ac:dyDescent="0.3">
      <c r="A23" s="7">
        <v>3971</v>
      </c>
      <c r="B23" s="8" t="s">
        <v>106</v>
      </c>
      <c r="C23" s="8">
        <v>3272</v>
      </c>
      <c r="D23" s="11">
        <v>43075</v>
      </c>
      <c r="E23" s="8"/>
      <c r="F23" s="8" t="s">
        <v>4</v>
      </c>
      <c r="G23" s="9" t="s">
        <v>0</v>
      </c>
      <c r="H23" s="10">
        <v>33890</v>
      </c>
      <c r="I23" s="9">
        <v>27</v>
      </c>
      <c r="J23" t="s">
        <v>137</v>
      </c>
      <c r="K23" s="17" t="s">
        <v>141</v>
      </c>
    </row>
    <row r="24" spans="1:11" x14ac:dyDescent="0.3">
      <c r="A24" s="7">
        <v>3686</v>
      </c>
      <c r="B24" s="8" t="s">
        <v>107</v>
      </c>
      <c r="C24" s="8">
        <v>3452</v>
      </c>
      <c r="D24" s="11">
        <v>43082</v>
      </c>
      <c r="E24" s="8"/>
      <c r="F24" s="8" t="s">
        <v>8</v>
      </c>
      <c r="G24" s="9" t="s">
        <v>0</v>
      </c>
      <c r="H24" s="10">
        <v>23661</v>
      </c>
      <c r="I24" s="9">
        <v>55</v>
      </c>
      <c r="J24" t="s">
        <v>131</v>
      </c>
      <c r="K24" s="17" t="s">
        <v>132</v>
      </c>
    </row>
    <row r="25" spans="1:11" x14ac:dyDescent="0.3">
      <c r="A25" s="12">
        <v>3483</v>
      </c>
      <c r="B25" s="13" t="s">
        <v>108</v>
      </c>
      <c r="C25" s="13">
        <v>3899</v>
      </c>
      <c r="D25" s="16">
        <v>43088</v>
      </c>
      <c r="E25" s="13"/>
      <c r="F25" s="13" t="s">
        <v>1</v>
      </c>
      <c r="G25" s="14" t="s">
        <v>0</v>
      </c>
      <c r="H25" s="15">
        <v>24389</v>
      </c>
      <c r="I25" s="14">
        <v>53</v>
      </c>
      <c r="J25" t="s">
        <v>131</v>
      </c>
      <c r="K25" s="17" t="s">
        <v>132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AD73-3DBA-4E21-8506-6A06B5895B57}">
  <dimension ref="A1:K16"/>
  <sheetViews>
    <sheetView workbookViewId="0">
      <selection activeCell="J1" sqref="J1:K1"/>
    </sheetView>
  </sheetViews>
  <sheetFormatPr defaultRowHeight="14.4" x14ac:dyDescent="0.3"/>
  <cols>
    <col min="1" max="1" width="11.33203125" bestFit="1" customWidth="1"/>
    <col min="2" max="2" width="18.6640625" bestFit="1" customWidth="1"/>
    <col min="3" max="3" width="8.44140625" bestFit="1" customWidth="1"/>
    <col min="4" max="4" width="15.33203125" customWidth="1"/>
    <col min="5" max="5" width="11.33203125" bestFit="1" customWidth="1"/>
    <col min="6" max="6" width="9.6640625" bestFit="1" customWidth="1"/>
    <col min="7" max="7" width="11.33203125" bestFit="1" customWidth="1"/>
    <col min="8" max="8" width="13.33203125" bestFit="1" customWidth="1"/>
    <col min="11" max="11" width="17.88671875" bestFit="1" customWidth="1"/>
  </cols>
  <sheetData>
    <row r="1" spans="1:11" ht="15" thickBot="1" x14ac:dyDescent="0.35">
      <c r="A1" s="4" t="s">
        <v>65</v>
      </c>
      <c r="B1" s="5" t="s">
        <v>84</v>
      </c>
      <c r="C1" s="5" t="s">
        <v>61</v>
      </c>
      <c r="D1" s="5" t="s">
        <v>124</v>
      </c>
      <c r="E1" s="5" t="s">
        <v>60</v>
      </c>
      <c r="F1" s="5" t="s">
        <v>59</v>
      </c>
      <c r="G1" s="5" t="s">
        <v>58</v>
      </c>
      <c r="H1" s="6" t="s">
        <v>31</v>
      </c>
      <c r="I1" s="5" t="s">
        <v>68</v>
      </c>
      <c r="J1" t="s">
        <v>129</v>
      </c>
      <c r="K1" t="s">
        <v>130</v>
      </c>
    </row>
    <row r="2" spans="1:11" ht="15" thickTop="1" x14ac:dyDescent="0.3">
      <c r="A2" s="7">
        <v>4993</v>
      </c>
      <c r="B2" s="8" t="s">
        <v>109</v>
      </c>
      <c r="C2" s="8">
        <v>3922</v>
      </c>
      <c r="D2" s="11">
        <v>43141</v>
      </c>
      <c r="E2" s="8"/>
      <c r="F2" s="8" t="s">
        <v>25</v>
      </c>
      <c r="G2" s="9" t="s">
        <v>0</v>
      </c>
      <c r="H2" s="10">
        <v>30585</v>
      </c>
      <c r="I2">
        <v>36</v>
      </c>
      <c r="J2" t="s">
        <v>137</v>
      </c>
      <c r="K2" t="s">
        <v>141</v>
      </c>
    </row>
    <row r="3" spans="1:11" x14ac:dyDescent="0.3">
      <c r="A3" s="7">
        <v>3132</v>
      </c>
      <c r="B3" s="8" t="s">
        <v>110</v>
      </c>
      <c r="C3" s="8">
        <v>3046</v>
      </c>
      <c r="D3" s="11">
        <v>43144</v>
      </c>
      <c r="E3" s="8"/>
      <c r="F3" s="8" t="s">
        <v>22</v>
      </c>
      <c r="G3" s="9" t="s">
        <v>7</v>
      </c>
      <c r="H3" s="10">
        <v>31323</v>
      </c>
      <c r="I3">
        <v>34</v>
      </c>
      <c r="J3" t="s">
        <v>140</v>
      </c>
      <c r="K3" t="s">
        <v>132</v>
      </c>
    </row>
    <row r="4" spans="1:11" x14ac:dyDescent="0.3">
      <c r="A4" s="7">
        <v>3534</v>
      </c>
      <c r="B4" s="8" t="s">
        <v>111</v>
      </c>
      <c r="C4" s="8">
        <v>3117</v>
      </c>
      <c r="D4" s="11">
        <v>43161</v>
      </c>
      <c r="E4" s="8"/>
      <c r="F4" s="8" t="s">
        <v>23</v>
      </c>
      <c r="G4" s="9" t="s">
        <v>0</v>
      </c>
      <c r="H4" s="10">
        <v>30232</v>
      </c>
      <c r="I4">
        <v>37</v>
      </c>
      <c r="J4" t="s">
        <v>139</v>
      </c>
      <c r="K4" t="s">
        <v>134</v>
      </c>
    </row>
    <row r="5" spans="1:11" x14ac:dyDescent="0.3">
      <c r="A5" s="7">
        <v>4751</v>
      </c>
      <c r="B5" s="8" t="s">
        <v>112</v>
      </c>
      <c r="C5" s="8">
        <v>3190</v>
      </c>
      <c r="D5" s="11">
        <v>43195</v>
      </c>
      <c r="E5" s="8"/>
      <c r="F5" s="8" t="s">
        <v>22</v>
      </c>
      <c r="G5" s="9" t="s">
        <v>7</v>
      </c>
      <c r="H5" s="10">
        <v>27670</v>
      </c>
      <c r="I5">
        <v>44</v>
      </c>
      <c r="J5" t="s">
        <v>140</v>
      </c>
      <c r="K5" t="s">
        <v>132</v>
      </c>
    </row>
    <row r="6" spans="1:11" x14ac:dyDescent="0.3">
      <c r="A6" s="7">
        <v>5070</v>
      </c>
      <c r="B6" s="8" t="s">
        <v>113</v>
      </c>
      <c r="C6" s="8">
        <v>3028</v>
      </c>
      <c r="D6" s="11">
        <v>43201</v>
      </c>
      <c r="E6" s="8"/>
      <c r="F6" s="8" t="s">
        <v>21</v>
      </c>
      <c r="G6" s="9" t="s">
        <v>7</v>
      </c>
      <c r="H6" s="10">
        <v>32792</v>
      </c>
      <c r="I6">
        <v>30</v>
      </c>
      <c r="J6" t="s">
        <v>137</v>
      </c>
      <c r="K6" t="s">
        <v>138</v>
      </c>
    </row>
    <row r="7" spans="1:11" x14ac:dyDescent="0.3">
      <c r="A7" s="7">
        <v>3237</v>
      </c>
      <c r="B7" s="8" t="s">
        <v>114</v>
      </c>
      <c r="C7" s="8">
        <v>3481</v>
      </c>
      <c r="D7" s="11">
        <v>43209</v>
      </c>
      <c r="E7" s="8"/>
      <c r="F7" s="8" t="s">
        <v>8</v>
      </c>
      <c r="G7" s="9" t="s">
        <v>7</v>
      </c>
      <c r="H7" s="10">
        <v>28414</v>
      </c>
      <c r="I7">
        <v>42</v>
      </c>
      <c r="J7" t="s">
        <v>131</v>
      </c>
      <c r="K7" t="s">
        <v>132</v>
      </c>
    </row>
    <row r="8" spans="1:11" x14ac:dyDescent="0.3">
      <c r="A8" s="7">
        <v>3495</v>
      </c>
      <c r="B8" s="8" t="s">
        <v>115</v>
      </c>
      <c r="C8" s="8">
        <v>3361</v>
      </c>
      <c r="D8" s="11">
        <v>43247</v>
      </c>
      <c r="E8" s="8"/>
      <c r="F8" s="8" t="s">
        <v>1</v>
      </c>
      <c r="G8" s="9" t="s">
        <v>0</v>
      </c>
      <c r="H8" s="10">
        <v>33865</v>
      </c>
      <c r="I8">
        <v>27</v>
      </c>
      <c r="J8" t="s">
        <v>131</v>
      </c>
      <c r="K8" t="s">
        <v>132</v>
      </c>
    </row>
    <row r="9" spans="1:11" x14ac:dyDescent="0.3">
      <c r="A9" s="7">
        <v>3716</v>
      </c>
      <c r="B9" s="8" t="s">
        <v>116</v>
      </c>
      <c r="C9" s="8">
        <v>3787</v>
      </c>
      <c r="D9" s="11">
        <v>43261</v>
      </c>
      <c r="E9" s="8"/>
      <c r="F9" s="8" t="s">
        <v>1</v>
      </c>
      <c r="G9" s="9" t="s">
        <v>0</v>
      </c>
      <c r="H9" s="10">
        <v>23663</v>
      </c>
      <c r="I9">
        <v>55</v>
      </c>
      <c r="J9" t="s">
        <v>131</v>
      </c>
      <c r="K9" t="s">
        <v>132</v>
      </c>
    </row>
    <row r="10" spans="1:11" x14ac:dyDescent="0.3">
      <c r="A10" s="7">
        <v>3374</v>
      </c>
      <c r="B10" s="8" t="s">
        <v>117</v>
      </c>
      <c r="C10" s="8">
        <v>3256</v>
      </c>
      <c r="D10" s="11">
        <v>43351</v>
      </c>
      <c r="E10" s="8"/>
      <c r="F10" s="8" t="s">
        <v>16</v>
      </c>
      <c r="G10" s="9" t="s">
        <v>0</v>
      </c>
      <c r="H10" s="10">
        <v>33884</v>
      </c>
      <c r="I10">
        <v>27</v>
      </c>
      <c r="J10" t="s">
        <v>135</v>
      </c>
      <c r="K10" t="s">
        <v>138</v>
      </c>
    </row>
    <row r="11" spans="1:11" x14ac:dyDescent="0.3">
      <c r="A11" s="7">
        <v>3683</v>
      </c>
      <c r="B11" s="8" t="s">
        <v>118</v>
      </c>
      <c r="C11" s="8">
        <v>3083</v>
      </c>
      <c r="D11" s="11">
        <v>43387</v>
      </c>
      <c r="E11" s="8"/>
      <c r="F11" s="8" t="s">
        <v>8</v>
      </c>
      <c r="G11" s="9" t="s">
        <v>0</v>
      </c>
      <c r="H11" s="10">
        <v>33511</v>
      </c>
      <c r="I11">
        <v>28</v>
      </c>
      <c r="J11" t="s">
        <v>131</v>
      </c>
      <c r="K11" t="s">
        <v>132</v>
      </c>
    </row>
    <row r="12" spans="1:11" x14ac:dyDescent="0.3">
      <c r="A12" s="7">
        <v>5028</v>
      </c>
      <c r="B12" s="8" t="s">
        <v>119</v>
      </c>
      <c r="C12" s="8">
        <v>3619</v>
      </c>
      <c r="D12" s="11">
        <v>43391</v>
      </c>
      <c r="E12" s="8"/>
      <c r="F12" s="8" t="s">
        <v>1</v>
      </c>
      <c r="G12" s="9" t="s">
        <v>7</v>
      </c>
      <c r="H12" s="10">
        <v>29484</v>
      </c>
      <c r="I12">
        <v>39</v>
      </c>
      <c r="J12" t="s">
        <v>131</v>
      </c>
      <c r="K12" t="s">
        <v>132</v>
      </c>
    </row>
    <row r="13" spans="1:11" x14ac:dyDescent="0.3">
      <c r="A13" s="7">
        <v>4474</v>
      </c>
      <c r="B13" s="8" t="s">
        <v>120</v>
      </c>
      <c r="C13" s="8">
        <v>3965</v>
      </c>
      <c r="D13" s="11">
        <v>43406</v>
      </c>
      <c r="E13" s="8"/>
      <c r="F13" s="8" t="s">
        <v>8</v>
      </c>
      <c r="G13" s="9" t="s">
        <v>0</v>
      </c>
      <c r="H13" s="10">
        <v>27300</v>
      </c>
      <c r="I13">
        <v>45</v>
      </c>
      <c r="J13" t="s">
        <v>131</v>
      </c>
      <c r="K13" t="s">
        <v>132</v>
      </c>
    </row>
    <row r="14" spans="1:11" x14ac:dyDescent="0.3">
      <c r="A14" s="7">
        <v>4584</v>
      </c>
      <c r="B14" s="8" t="s">
        <v>121</v>
      </c>
      <c r="C14" s="8">
        <v>3135</v>
      </c>
      <c r="D14" s="11">
        <v>43411</v>
      </c>
      <c r="E14" s="8"/>
      <c r="F14" s="8" t="s">
        <v>13</v>
      </c>
      <c r="G14" s="9" t="s">
        <v>7</v>
      </c>
      <c r="H14" s="10">
        <v>24382</v>
      </c>
      <c r="I14">
        <v>53</v>
      </c>
      <c r="J14" t="s">
        <v>137</v>
      </c>
      <c r="K14" t="s">
        <v>134</v>
      </c>
    </row>
    <row r="15" spans="1:11" x14ac:dyDescent="0.3">
      <c r="A15" s="7">
        <v>4219</v>
      </c>
      <c r="B15" s="8" t="s">
        <v>122</v>
      </c>
      <c r="C15" s="8">
        <v>3261</v>
      </c>
      <c r="D15" s="11">
        <v>43442</v>
      </c>
      <c r="E15" s="8"/>
      <c r="F15" s="8" t="s">
        <v>11</v>
      </c>
      <c r="G15" s="9" t="s">
        <v>0</v>
      </c>
      <c r="H15" s="10">
        <v>26204</v>
      </c>
      <c r="I15">
        <v>48</v>
      </c>
      <c r="J15" t="s">
        <v>137</v>
      </c>
      <c r="K15" t="s">
        <v>136</v>
      </c>
    </row>
    <row r="16" spans="1:11" x14ac:dyDescent="0.3">
      <c r="A16" s="12">
        <v>4067</v>
      </c>
      <c r="B16" s="13" t="s">
        <v>123</v>
      </c>
      <c r="C16" s="13">
        <v>3121</v>
      </c>
      <c r="D16" s="16">
        <v>43454</v>
      </c>
      <c r="E16" s="13"/>
      <c r="F16" s="13" t="s">
        <v>10</v>
      </c>
      <c r="G16" s="14" t="s">
        <v>0</v>
      </c>
      <c r="H16" s="15">
        <v>34609</v>
      </c>
      <c r="I16">
        <v>25</v>
      </c>
      <c r="J16" t="s">
        <v>137</v>
      </c>
      <c r="K16" t="s">
        <v>134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1622-335E-457F-8984-265018016D74}">
  <dimension ref="A1:K5"/>
  <sheetViews>
    <sheetView tabSelected="1" workbookViewId="0">
      <selection activeCell="F12" sqref="F12"/>
    </sheetView>
  </sheetViews>
  <sheetFormatPr defaultRowHeight="14.4" x14ac:dyDescent="0.3"/>
  <cols>
    <col min="1" max="1" width="10.88671875" customWidth="1"/>
    <col min="2" max="2" width="19.5546875" bestFit="1" customWidth="1"/>
    <col min="4" max="4" width="11" customWidth="1"/>
    <col min="5" max="5" width="10.88671875" customWidth="1"/>
    <col min="6" max="6" width="9.33203125" customWidth="1"/>
    <col min="7" max="7" width="11.6640625" bestFit="1" customWidth="1"/>
    <col min="8" max="8" width="12.88671875" customWidth="1"/>
    <col min="10" max="10" width="10.44140625" bestFit="1" customWidth="1"/>
    <col min="11" max="11" width="17.88671875" bestFit="1" customWidth="1"/>
  </cols>
  <sheetData>
    <row r="1" spans="1:11" ht="15" thickBot="1" x14ac:dyDescent="0.35">
      <c r="A1" s="4" t="s">
        <v>65</v>
      </c>
      <c r="B1" s="5" t="s">
        <v>84</v>
      </c>
      <c r="C1" s="5" t="s">
        <v>61</v>
      </c>
      <c r="D1" s="5" t="s">
        <v>124</v>
      </c>
      <c r="E1" s="5" t="s">
        <v>60</v>
      </c>
      <c r="F1" s="5" t="s">
        <v>59</v>
      </c>
      <c r="G1" s="5" t="s">
        <v>58</v>
      </c>
      <c r="H1" s="6" t="s">
        <v>31</v>
      </c>
      <c r="I1" s="5" t="s">
        <v>68</v>
      </c>
      <c r="J1" t="s">
        <v>129</v>
      </c>
      <c r="K1" t="s">
        <v>130</v>
      </c>
    </row>
    <row r="2" spans="1:11" ht="15" thickTop="1" x14ac:dyDescent="0.3">
      <c r="A2" s="7">
        <v>3867</v>
      </c>
      <c r="B2" s="8" t="s">
        <v>125</v>
      </c>
      <c r="C2" s="8">
        <v>3352</v>
      </c>
      <c r="D2" s="11">
        <v>43484</v>
      </c>
      <c r="E2" s="8"/>
      <c r="F2" s="8" t="s">
        <v>8</v>
      </c>
      <c r="G2" s="9" t="s">
        <v>7</v>
      </c>
      <c r="H2" s="10">
        <v>31316</v>
      </c>
      <c r="I2">
        <v>34</v>
      </c>
      <c r="J2" t="s">
        <v>131</v>
      </c>
      <c r="K2" t="s">
        <v>132</v>
      </c>
    </row>
    <row r="3" spans="1:11" x14ac:dyDescent="0.3">
      <c r="A3" s="7">
        <v>4208</v>
      </c>
      <c r="B3" s="8" t="s">
        <v>126</v>
      </c>
      <c r="C3" s="8">
        <v>3287</v>
      </c>
      <c r="D3" s="11">
        <v>43494</v>
      </c>
      <c r="E3" s="8"/>
      <c r="F3" s="8" t="s">
        <v>8</v>
      </c>
      <c r="G3" s="9" t="s">
        <v>7</v>
      </c>
      <c r="H3" s="10">
        <v>30226</v>
      </c>
      <c r="I3">
        <v>37</v>
      </c>
      <c r="J3" t="s">
        <v>131</v>
      </c>
      <c r="K3" t="s">
        <v>132</v>
      </c>
    </row>
    <row r="4" spans="1:11" x14ac:dyDescent="0.3">
      <c r="A4" s="7">
        <v>3574</v>
      </c>
      <c r="B4" s="8" t="s">
        <v>127</v>
      </c>
      <c r="C4" s="8">
        <v>3836</v>
      </c>
      <c r="D4" s="11">
        <v>43514</v>
      </c>
      <c r="E4" s="8"/>
      <c r="F4" s="8" t="s">
        <v>4</v>
      </c>
      <c r="G4" s="9" t="s">
        <v>0</v>
      </c>
      <c r="H4" s="10">
        <v>25480</v>
      </c>
      <c r="I4">
        <v>50</v>
      </c>
      <c r="J4" t="s">
        <v>137</v>
      </c>
      <c r="K4" t="s">
        <v>141</v>
      </c>
    </row>
    <row r="5" spans="1:11" x14ac:dyDescent="0.3">
      <c r="A5" s="12">
        <v>4640</v>
      </c>
      <c r="B5" s="8" t="s">
        <v>128</v>
      </c>
      <c r="C5" s="13">
        <v>3311</v>
      </c>
      <c r="D5" s="11">
        <v>43577</v>
      </c>
      <c r="E5" s="13"/>
      <c r="F5" s="13" t="s">
        <v>1</v>
      </c>
      <c r="G5" s="14" t="s">
        <v>0</v>
      </c>
      <c r="H5" s="15">
        <v>25125</v>
      </c>
      <c r="I5">
        <v>51</v>
      </c>
      <c r="J5" t="s">
        <v>131</v>
      </c>
      <c r="K5" t="s">
        <v>132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Setubal</dc:creator>
  <cp:lastModifiedBy>Gabriel Setubal</cp:lastModifiedBy>
  <dcterms:created xsi:type="dcterms:W3CDTF">2019-09-24T05:03:49Z</dcterms:created>
  <dcterms:modified xsi:type="dcterms:W3CDTF">2019-10-16T17:57:13Z</dcterms:modified>
</cp:coreProperties>
</file>